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SERVICE DES FORMATIONS\EXAMENS\24-25\RATTRAPAGES\"/>
    </mc:Choice>
  </mc:AlternateContent>
  <xr:revisionPtr revIDLastSave="0" documentId="13_ncr:1_{16AB6316-6BE3-44B4-B06B-30D8F3DBE749}" xr6:coauthVersionLast="36" xr6:coauthVersionMax="36" xr10:uidLastSave="{00000000-0000-0000-0000-000000000000}"/>
  <bookViews>
    <workbookView xWindow="0" yWindow="0" windowWidth="24765" windowHeight="12465" xr2:uid="{C0669552-5420-4AEA-BD61-6DB69413E3E3}"/>
  </bookViews>
  <sheets>
    <sheet name="Feuil1" sheetId="1" r:id="rId1"/>
  </sheets>
  <definedNames>
    <definedName name="_xlnm._FilterDatabase" localSheetId="0" hidden="1">Feuil1!#REF!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" i="1" l="1"/>
  <c r="D21" i="1" l="1"/>
  <c r="D22" i="1" l="1"/>
  <c r="D18" i="1"/>
  <c r="D14" i="1"/>
  <c r="D19" i="1"/>
  <c r="D17" i="1"/>
  <c r="D24" i="1"/>
  <c r="D16" i="1"/>
  <c r="D15" i="1"/>
  <c r="D20" i="1"/>
  <c r="D23" i="1"/>
</calcChain>
</file>

<file path=xl/sharedStrings.xml><?xml version="1.0" encoding="utf-8"?>
<sst xmlns="http://schemas.openxmlformats.org/spreadsheetml/2006/main" count="88" uniqueCount="79">
  <si>
    <t>RB</t>
  </si>
  <si>
    <t>BZ</t>
  </si>
  <si>
    <t>MODALITES</t>
  </si>
  <si>
    <t>DATE</t>
  </si>
  <si>
    <t>DUREE</t>
  </si>
  <si>
    <t>SALLE</t>
  </si>
  <si>
    <t>Nbr d'exam à passer</t>
  </si>
  <si>
    <t>MICHEL</t>
  </si>
  <si>
    <t>ARNAUD</t>
  </si>
  <si>
    <t>ANTOINE</t>
  </si>
  <si>
    <t>AXEL</t>
  </si>
  <si>
    <t>Epreuves pour 1ère note </t>
  </si>
  <si>
    <t>Nom</t>
  </si>
  <si>
    <t>Prenom</t>
  </si>
  <si>
    <t>SURVEILLANT</t>
  </si>
  <si>
    <t>2h</t>
  </si>
  <si>
    <t>SAC, MONTRE CONNECTEE, TELEPHONE, ORDI, TABLETTE…..  rangés aux pieds du professeur
Ne sera accepté sur la table que LES DOCS AUTORISES et la TROUSSE</t>
  </si>
  <si>
    <t>BM</t>
  </si>
  <si>
    <t>ME</t>
  </si>
  <si>
    <t>TABLEAU RATTRAPAGES 3AI</t>
  </si>
  <si>
    <t>BELBACHIR</t>
  </si>
  <si>
    <t>CAMBIER</t>
  </si>
  <si>
    <t>VIANNEY</t>
  </si>
  <si>
    <t>COLODEAU</t>
  </si>
  <si>
    <t>THIBAUD</t>
  </si>
  <si>
    <t>DAHBI NAJIB</t>
  </si>
  <si>
    <t>MAHFOUD</t>
  </si>
  <si>
    <t xml:space="preserve">DIDESCH </t>
  </si>
  <si>
    <t>THEO</t>
  </si>
  <si>
    <t xml:space="preserve">FERRARI </t>
  </si>
  <si>
    <t>LUCA</t>
  </si>
  <si>
    <t>HUOT-SOUDAIN</t>
  </si>
  <si>
    <t>LEMOINE</t>
  </si>
  <si>
    <t>THIBAULT</t>
  </si>
  <si>
    <t>PAULUS</t>
  </si>
  <si>
    <t>ROMY</t>
  </si>
  <si>
    <t>PITOKO</t>
  </si>
  <si>
    <t>OCEANA</t>
  </si>
  <si>
    <t>GI6</t>
  </si>
  <si>
    <t>CI13</t>
  </si>
  <si>
    <t>DDQ6</t>
  </si>
  <si>
    <t>CI11</t>
  </si>
  <si>
    <t>P2C1</t>
  </si>
  <si>
    <t>P2C3</t>
  </si>
  <si>
    <t>MP3.14</t>
  </si>
  <si>
    <t>DM</t>
  </si>
  <si>
    <t>OC</t>
  </si>
  <si>
    <t>P3C3</t>
  </si>
  <si>
    <t>HOFFERT</t>
  </si>
  <si>
    <t>EMELINE</t>
  </si>
  <si>
    <t>Synthèse dossier et oral</t>
  </si>
  <si>
    <t>écrit - sans docs</t>
  </si>
  <si>
    <t>oral</t>
  </si>
  <si>
    <t>45min</t>
  </si>
  <si>
    <t>semaine soutenances finales</t>
  </si>
  <si>
    <t>Date exposé</t>
  </si>
  <si>
    <t>23/05 9h-10h</t>
  </si>
  <si>
    <t>19/05 9h-10h</t>
  </si>
  <si>
    <t>20/05 10h-11h</t>
  </si>
  <si>
    <t>23/05 11h-12h</t>
  </si>
  <si>
    <t>23/05 10h-11h</t>
  </si>
  <si>
    <t>pas stage</t>
  </si>
  <si>
    <t>23/05 16h-17h</t>
  </si>
  <si>
    <t>19/05 14h45-15h45</t>
  </si>
  <si>
    <t>stage décalé (début 05/05)</t>
  </si>
  <si>
    <t>23/05 14h45-15h45</t>
  </si>
  <si>
    <t>module sur Arche</t>
  </si>
  <si>
    <t>16/05 max</t>
  </si>
  <si>
    <t xml:space="preserve">21/05 16h </t>
  </si>
  <si>
    <t>1h</t>
  </si>
  <si>
    <t>bureau M. CHERY</t>
  </si>
  <si>
    <t>22/05 13h45-15h45</t>
  </si>
  <si>
    <t>22/05 16h-17h30</t>
  </si>
  <si>
    <t>écrit</t>
  </si>
  <si>
    <t>synthèse lectures puis oral - mail sera envoyé par M. BARY pour les modalités</t>
  </si>
  <si>
    <t>Evaluation sur le diagnostic de la capacité à innover qui devra être réalisé dans le rapport de mémoire</t>
  </si>
  <si>
    <t>22/05 15h</t>
  </si>
  <si>
    <t>B08</t>
  </si>
  <si>
    <t>C08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</si>
</sst>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theme="1"/>
      <name val="Calibri"/>
      <family val="2"/>
    </font>
    <font>
      <b/>
      <u/>
      <sz val="12"/>
      <color theme="1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sz val="9"/>
      <name val="Calibri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</font>
    <font>
      <b/>
      <sz val="10"/>
      <name val="Calibri"/>
      <family val="2"/>
    </font>
    <font>
      <sz val="10"/>
      <name val="Calibri"/>
      <family val="2"/>
      <scheme val="minor"/>
    </font>
    <font>
      <b/>
      <sz val="9"/>
      <name val="Calibri"/>
      <family val="2"/>
    </font>
    <font>
      <sz val="9"/>
      <color rgb="FFFF0000"/>
      <name val="Calibri"/>
      <family val="2"/>
    </font>
    <font>
      <b/>
      <u/>
      <sz val="11"/>
      <color rgb="FF000000"/>
      <name val="Calibri"/>
      <family val="2"/>
    </font>
    <font>
      <b/>
      <u/>
      <sz val="11"/>
      <color theme="1"/>
      <name val="Calibri"/>
      <family val="2"/>
      <scheme val="minor"/>
    </font>
    <font>
      <b/>
      <u/>
      <sz val="1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DD3FA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horizontal="left" vertical="center"/>
    </xf>
    <xf numFmtId="0" fontId="0" fillId="0" borderId="0" xfId="0" applyFont="1"/>
    <xf numFmtId="0" fontId="4" fillId="0" borderId="0" xfId="0" applyFont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vertical="center" wrapText="1"/>
    </xf>
    <xf numFmtId="0" fontId="5" fillId="6" borderId="5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14" fontId="6" fillId="7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top" wrapText="1"/>
    </xf>
    <xf numFmtId="0" fontId="1" fillId="0" borderId="1" xfId="0" applyFont="1" applyFill="1" applyBorder="1" applyAlignment="1">
      <alignment vertical="center"/>
    </xf>
    <xf numFmtId="0" fontId="0" fillId="0" borderId="1" xfId="0" applyFill="1" applyBorder="1"/>
    <xf numFmtId="0" fontId="4" fillId="2" borderId="6" xfId="0" applyFont="1" applyFill="1" applyBorder="1" applyAlignment="1">
      <alignment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14" fontId="6" fillId="8" borderId="1" xfId="0" applyNumberFormat="1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14" fontId="6" fillId="10" borderId="1" xfId="0" applyNumberFormat="1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/>
    </xf>
    <xf numFmtId="0" fontId="8" fillId="0" borderId="0" xfId="0" applyFont="1"/>
    <xf numFmtId="16" fontId="8" fillId="8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0" fillId="11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14" fontId="6" fillId="11" borderId="1" xfId="0" applyNumberFormat="1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 wrapText="1"/>
    </xf>
    <xf numFmtId="0" fontId="11" fillId="9" borderId="4" xfId="0" applyFont="1" applyFill="1" applyBorder="1" applyAlignment="1">
      <alignment horizontal="center" vertical="center"/>
    </xf>
    <xf numFmtId="0" fontId="15" fillId="9" borderId="4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center" vertical="center" wrapText="1"/>
    </xf>
    <xf numFmtId="0" fontId="16" fillId="11" borderId="1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16" fillId="12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/>
    </xf>
    <xf numFmtId="0" fontId="9" fillId="13" borderId="9" xfId="0" applyFont="1" applyFill="1" applyBorder="1" applyAlignment="1">
      <alignment vertical="center"/>
    </xf>
    <xf numFmtId="0" fontId="10" fillId="13" borderId="4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2" fontId="10" fillId="13" borderId="1" xfId="0" applyNumberFormat="1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/>
    </xf>
    <xf numFmtId="14" fontId="12" fillId="11" borderId="1" xfId="0" applyNumberFormat="1" applyFont="1" applyFill="1" applyBorder="1" applyAlignment="1">
      <alignment horizontal="center" vertical="center" wrapText="1"/>
    </xf>
    <xf numFmtId="16" fontId="8" fillId="7" borderId="1" xfId="0" applyNumberFormat="1" applyFont="1" applyFill="1" applyBorder="1" applyAlignment="1">
      <alignment horizontal="center" vertical="center" wrapText="1"/>
    </xf>
    <xf numFmtId="16" fontId="8" fillId="10" borderId="1" xfId="0" applyNumberFormat="1" applyFont="1" applyFill="1" applyBorder="1" applyAlignment="1">
      <alignment horizontal="center" vertical="center" wrapText="1"/>
    </xf>
    <xf numFmtId="14" fontId="6" fillId="12" borderId="1" xfId="0" applyNumberFormat="1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1" fillId="5" borderId="0" xfId="0" applyFont="1" applyFill="1" applyBorder="1" applyAlignment="1">
      <alignment horizontal="left"/>
    </xf>
    <xf numFmtId="16" fontId="8" fillId="9" borderId="1" xfId="0" applyNumberFormat="1" applyFont="1" applyFill="1" applyBorder="1" applyAlignment="1">
      <alignment horizontal="center" vertical="center" wrapText="1"/>
    </xf>
    <xf numFmtId="14" fontId="6" fillId="9" borderId="1" xfId="0" applyNumberFormat="1" applyFont="1" applyFill="1" applyBorder="1" applyAlignment="1">
      <alignment horizontal="center" vertical="center" wrapText="1"/>
    </xf>
    <xf numFmtId="16" fontId="12" fillId="7" borderId="1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 wrapText="1"/>
    </xf>
    <xf numFmtId="0" fontId="6" fillId="6" borderId="10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13" fillId="0" borderId="5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left"/>
    </xf>
    <xf numFmtId="0" fontId="1" fillId="5" borderId="7" xfId="0" applyFont="1" applyFill="1" applyBorder="1" applyAlignment="1">
      <alignment horizontal="left"/>
    </xf>
    <xf numFmtId="0" fontId="14" fillId="4" borderId="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DD3FA"/>
      <color rgb="FFFFFFCC"/>
      <color rgb="FF99FF66"/>
      <color rgb="FF66FF33"/>
      <color rgb="FFFF99FF"/>
      <color rgb="FFFFFF99"/>
      <color rgb="FFFCAEF6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8FDB3-D111-4DD0-A53C-1A1BE95AB01E}">
  <sheetPr>
    <pageSetUpPr fitToPage="1"/>
  </sheetPr>
  <dimension ref="A1:L24"/>
  <sheetViews>
    <sheetView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G6" sqref="G6"/>
    </sheetView>
  </sheetViews>
  <sheetFormatPr baseColWidth="10" defaultRowHeight="15" x14ac:dyDescent="0.25"/>
  <cols>
    <col min="1" max="1" width="18.85546875" customWidth="1"/>
    <col min="2" max="3" width="12.42578125" customWidth="1"/>
    <col min="4" max="4" width="9.28515625" customWidth="1"/>
    <col min="5" max="5" width="13.7109375" customWidth="1"/>
    <col min="6" max="6" width="10.140625" customWidth="1"/>
    <col min="7" max="7" width="11.7109375" customWidth="1"/>
    <col min="8" max="8" width="12.85546875" customWidth="1"/>
    <col min="9" max="10" width="11.7109375" customWidth="1"/>
    <col min="11" max="11" width="17.5703125" customWidth="1"/>
    <col min="12" max="12" width="15.5703125" customWidth="1"/>
  </cols>
  <sheetData>
    <row r="1" spans="1:12" ht="15.75" x14ac:dyDescent="0.25">
      <c r="A1" s="1"/>
      <c r="B1" s="1"/>
      <c r="C1" s="1"/>
      <c r="D1" s="1"/>
      <c r="E1" s="2" t="s">
        <v>19</v>
      </c>
      <c r="F1" s="1"/>
      <c r="G1" s="1"/>
      <c r="H1" s="1"/>
      <c r="I1" s="1"/>
      <c r="J1" s="1"/>
      <c r="K1" s="1"/>
      <c r="L1" s="1"/>
    </row>
    <row r="2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25">
      <c r="A3" s="4"/>
      <c r="B3" s="4"/>
      <c r="C3" s="4"/>
      <c r="D3" s="4"/>
      <c r="E3" s="32" t="s">
        <v>38</v>
      </c>
      <c r="F3" s="8" t="s">
        <v>39</v>
      </c>
      <c r="G3" s="25" t="s">
        <v>40</v>
      </c>
      <c r="H3" s="19" t="s">
        <v>42</v>
      </c>
      <c r="I3" s="38" t="s">
        <v>43</v>
      </c>
      <c r="J3" s="65" t="s">
        <v>47</v>
      </c>
      <c r="K3" s="49" t="s">
        <v>44</v>
      </c>
      <c r="L3" s="31" t="s">
        <v>41</v>
      </c>
    </row>
    <row r="4" spans="1:12" ht="21" customHeight="1" x14ac:dyDescent="0.25">
      <c r="A4" s="4"/>
      <c r="B4" s="4"/>
      <c r="C4" s="4"/>
      <c r="D4" s="4"/>
      <c r="E4" s="33" t="s">
        <v>45</v>
      </c>
      <c r="F4" s="20" t="s">
        <v>17</v>
      </c>
      <c r="G4" s="26" t="s">
        <v>46</v>
      </c>
      <c r="H4" s="21" t="s">
        <v>1</v>
      </c>
      <c r="I4" s="39" t="s">
        <v>1</v>
      </c>
      <c r="J4" s="66" t="s">
        <v>46</v>
      </c>
      <c r="K4" s="50" t="s">
        <v>0</v>
      </c>
      <c r="L4" s="44" t="s">
        <v>18</v>
      </c>
    </row>
    <row r="5" spans="1:12" s="46" customFormat="1" ht="84" customHeight="1" x14ac:dyDescent="0.2">
      <c r="A5" s="93" t="s">
        <v>2</v>
      </c>
      <c r="B5" s="93"/>
      <c r="C5" s="93"/>
      <c r="D5" s="93"/>
      <c r="E5" s="34" t="s">
        <v>73</v>
      </c>
      <c r="F5" s="6" t="s">
        <v>66</v>
      </c>
      <c r="G5" s="27" t="s">
        <v>52</v>
      </c>
      <c r="H5" s="13" t="s">
        <v>51</v>
      </c>
      <c r="I5" s="40" t="s">
        <v>52</v>
      </c>
      <c r="J5" s="67" t="s">
        <v>50</v>
      </c>
      <c r="K5" s="51" t="s">
        <v>74</v>
      </c>
      <c r="L5" s="85" t="s">
        <v>75</v>
      </c>
    </row>
    <row r="6" spans="1:12" s="48" customFormat="1" ht="24" x14ac:dyDescent="0.25">
      <c r="A6" s="93" t="s">
        <v>3</v>
      </c>
      <c r="B6" s="93"/>
      <c r="C6" s="93"/>
      <c r="D6" s="93"/>
      <c r="E6" s="82" t="s">
        <v>71</v>
      </c>
      <c r="F6" s="7" t="s">
        <v>67</v>
      </c>
      <c r="G6" s="47" t="s">
        <v>76</v>
      </c>
      <c r="H6" s="77" t="s">
        <v>71</v>
      </c>
      <c r="I6" s="78" t="s">
        <v>72</v>
      </c>
      <c r="J6" s="79" t="s">
        <v>68</v>
      </c>
      <c r="K6" s="76" t="s">
        <v>54</v>
      </c>
      <c r="L6" s="86"/>
    </row>
    <row r="7" spans="1:12" s="46" customFormat="1" ht="12" x14ac:dyDescent="0.2">
      <c r="A7" s="93" t="s">
        <v>4</v>
      </c>
      <c r="B7" s="93"/>
      <c r="C7" s="93"/>
      <c r="D7" s="93"/>
      <c r="E7" s="83" t="s">
        <v>15</v>
      </c>
      <c r="F7" s="7"/>
      <c r="G7" s="28" t="s">
        <v>69</v>
      </c>
      <c r="H7" s="14" t="s">
        <v>15</v>
      </c>
      <c r="I7" s="41" t="s">
        <v>53</v>
      </c>
      <c r="J7" s="79" t="s">
        <v>53</v>
      </c>
      <c r="K7" s="52"/>
      <c r="L7" s="86"/>
    </row>
    <row r="8" spans="1:12" s="46" customFormat="1" ht="24" x14ac:dyDescent="0.2">
      <c r="A8" s="93" t="s">
        <v>5</v>
      </c>
      <c r="B8" s="93"/>
      <c r="C8" s="93"/>
      <c r="D8" s="93"/>
      <c r="E8" s="34"/>
      <c r="F8" s="6"/>
      <c r="G8" s="27" t="s">
        <v>70</v>
      </c>
      <c r="H8" s="84" t="s">
        <v>77</v>
      </c>
      <c r="I8" s="39" t="s">
        <v>77</v>
      </c>
      <c r="J8" s="66" t="s">
        <v>78</v>
      </c>
      <c r="K8" s="51"/>
      <c r="L8" s="87"/>
    </row>
    <row r="9" spans="1:12" s="46" customFormat="1" ht="28.5" customHeight="1" x14ac:dyDescent="0.2">
      <c r="A9" s="35"/>
      <c r="B9" s="36"/>
      <c r="C9" s="64"/>
      <c r="D9" s="37"/>
      <c r="E9" s="88" t="s">
        <v>16</v>
      </c>
      <c r="F9" s="89"/>
      <c r="G9" s="89"/>
      <c r="H9" s="89"/>
      <c r="I9" s="89"/>
      <c r="J9" s="89"/>
      <c r="K9" s="89"/>
      <c r="L9" s="80"/>
    </row>
    <row r="10" spans="1:12" s="3" customFormat="1" ht="15.75" customHeight="1" x14ac:dyDescent="0.25">
      <c r="A10" s="92" t="s">
        <v>14</v>
      </c>
      <c r="B10" s="92"/>
      <c r="C10" s="92"/>
      <c r="D10" s="92"/>
      <c r="E10" s="57"/>
      <c r="F10" s="58"/>
      <c r="G10" s="59"/>
      <c r="H10" s="61"/>
      <c r="I10" s="62"/>
      <c r="J10" s="68"/>
      <c r="K10" s="63"/>
      <c r="L10" s="60"/>
    </row>
    <row r="11" spans="1:12" ht="15" customHeight="1" x14ac:dyDescent="0.25">
      <c r="A11" s="15"/>
      <c r="B11" s="16"/>
      <c r="C11" s="16"/>
      <c r="D11" s="17"/>
      <c r="E11" s="90" t="s">
        <v>11</v>
      </c>
      <c r="F11" s="91"/>
      <c r="G11" s="91"/>
      <c r="H11" s="91"/>
      <c r="I11" s="91"/>
      <c r="J11" s="91"/>
      <c r="K11" s="91"/>
      <c r="L11" s="81"/>
    </row>
    <row r="12" spans="1:12" x14ac:dyDescent="0.25">
      <c r="A12" s="18" t="s">
        <v>12</v>
      </c>
      <c r="B12" s="18" t="s">
        <v>13</v>
      </c>
      <c r="C12" s="18" t="s">
        <v>55</v>
      </c>
      <c r="D12" s="71" t="s">
        <v>6</v>
      </c>
      <c r="E12" s="72"/>
      <c r="F12" s="73"/>
      <c r="G12" s="73"/>
      <c r="H12" s="73"/>
      <c r="I12" s="75"/>
      <c r="J12" s="75"/>
      <c r="K12" s="73"/>
      <c r="L12" s="74"/>
    </row>
    <row r="13" spans="1:12" x14ac:dyDescent="0.25">
      <c r="A13" s="11" t="s">
        <v>48</v>
      </c>
      <c r="B13" s="11" t="s">
        <v>49</v>
      </c>
      <c r="C13" s="11" t="s">
        <v>56</v>
      </c>
      <c r="D13" s="9">
        <f t="shared" ref="D13:D24" si="0">SUM(E13:K13)</f>
        <v>1</v>
      </c>
      <c r="E13" s="55"/>
      <c r="F13" s="5"/>
      <c r="G13" s="29"/>
      <c r="H13" s="23"/>
      <c r="I13" s="42"/>
      <c r="J13" s="69">
        <v>1</v>
      </c>
      <c r="K13" s="53"/>
      <c r="L13" s="22"/>
    </row>
    <row r="14" spans="1:12" ht="25.5" x14ac:dyDescent="0.25">
      <c r="A14" s="11" t="s">
        <v>21</v>
      </c>
      <c r="B14" s="11" t="s">
        <v>22</v>
      </c>
      <c r="C14" s="11" t="s">
        <v>58</v>
      </c>
      <c r="D14" s="9">
        <f t="shared" si="0"/>
        <v>1</v>
      </c>
      <c r="E14" s="55"/>
      <c r="F14" s="5"/>
      <c r="G14" s="29"/>
      <c r="H14" s="23">
        <v>1</v>
      </c>
      <c r="I14" s="42"/>
      <c r="J14" s="69"/>
      <c r="K14" s="53"/>
      <c r="L14" s="22"/>
    </row>
    <row r="15" spans="1:12" ht="25.5" x14ac:dyDescent="0.25">
      <c r="A15" s="11" t="s">
        <v>25</v>
      </c>
      <c r="B15" s="11" t="s">
        <v>26</v>
      </c>
      <c r="C15" s="11" t="s">
        <v>60</v>
      </c>
      <c r="D15" s="9">
        <f t="shared" si="0"/>
        <v>1</v>
      </c>
      <c r="E15" s="55">
        <v>1</v>
      </c>
      <c r="F15" s="5"/>
      <c r="G15" s="29"/>
      <c r="H15" s="23"/>
      <c r="I15" s="42"/>
      <c r="J15" s="69"/>
      <c r="K15" s="53"/>
      <c r="L15" s="22"/>
    </row>
    <row r="16" spans="1:12" ht="19.5" customHeight="1" x14ac:dyDescent="0.25">
      <c r="A16" s="11" t="s">
        <v>27</v>
      </c>
      <c r="B16" s="11" t="s">
        <v>28</v>
      </c>
      <c r="C16" s="11" t="s">
        <v>61</v>
      </c>
      <c r="D16" s="9">
        <f t="shared" si="0"/>
        <v>1</v>
      </c>
      <c r="E16" s="56"/>
      <c r="F16" s="10"/>
      <c r="G16" s="30">
        <v>1</v>
      </c>
      <c r="H16" s="24"/>
      <c r="I16" s="43"/>
      <c r="J16" s="70"/>
      <c r="K16" s="54"/>
      <c r="L16" s="45"/>
    </row>
    <row r="17" spans="1:12" ht="25.5" x14ac:dyDescent="0.25">
      <c r="A17" s="12" t="s">
        <v>29</v>
      </c>
      <c r="B17" s="12" t="s">
        <v>30</v>
      </c>
      <c r="C17" s="12" t="s">
        <v>62</v>
      </c>
      <c r="D17" s="9">
        <f t="shared" si="0"/>
        <v>0</v>
      </c>
      <c r="E17" s="55"/>
      <c r="F17" s="5"/>
      <c r="G17" s="29"/>
      <c r="H17" s="23"/>
      <c r="I17" s="43"/>
      <c r="J17" s="70"/>
      <c r="K17" s="53"/>
      <c r="L17" s="22">
        <v>1</v>
      </c>
    </row>
    <row r="18" spans="1:12" ht="18.75" customHeight="1" x14ac:dyDescent="0.25">
      <c r="A18" s="11" t="s">
        <v>32</v>
      </c>
      <c r="B18" s="11" t="s">
        <v>8</v>
      </c>
      <c r="C18" s="11" t="s">
        <v>57</v>
      </c>
      <c r="D18" s="9">
        <f t="shared" si="0"/>
        <v>2</v>
      </c>
      <c r="E18" s="55"/>
      <c r="F18" s="5"/>
      <c r="G18" s="29"/>
      <c r="H18" s="23">
        <v>1</v>
      </c>
      <c r="I18" s="42">
        <v>1</v>
      </c>
      <c r="J18" s="69"/>
      <c r="K18" s="53"/>
      <c r="L18" s="22"/>
    </row>
    <row r="19" spans="1:12" ht="25.5" x14ac:dyDescent="0.25">
      <c r="A19" s="11" t="s">
        <v>7</v>
      </c>
      <c r="B19" s="11" t="s">
        <v>33</v>
      </c>
      <c r="C19" s="11" t="s">
        <v>58</v>
      </c>
      <c r="D19" s="9">
        <f t="shared" si="0"/>
        <v>2</v>
      </c>
      <c r="E19" s="55"/>
      <c r="F19" s="5"/>
      <c r="G19" s="29"/>
      <c r="H19" s="23">
        <v>1</v>
      </c>
      <c r="I19" s="42">
        <v>1</v>
      </c>
      <c r="J19" s="69"/>
      <c r="K19" s="53"/>
      <c r="L19" s="22"/>
    </row>
    <row r="20" spans="1:12" ht="25.5" x14ac:dyDescent="0.25">
      <c r="A20" s="11" t="s">
        <v>34</v>
      </c>
      <c r="B20" s="11" t="s">
        <v>35</v>
      </c>
      <c r="C20" s="11" t="s">
        <v>64</v>
      </c>
      <c r="D20" s="9">
        <f t="shared" si="0"/>
        <v>1</v>
      </c>
      <c r="E20" s="55"/>
      <c r="F20" s="5">
        <v>1</v>
      </c>
      <c r="G20" s="30"/>
      <c r="H20" s="24"/>
      <c r="I20" s="42"/>
      <c r="J20" s="69"/>
      <c r="K20" s="54"/>
      <c r="L20" s="45"/>
    </row>
    <row r="21" spans="1:12" ht="25.5" x14ac:dyDescent="0.25">
      <c r="A21" s="11" t="s">
        <v>36</v>
      </c>
      <c r="B21" s="11" t="s">
        <v>37</v>
      </c>
      <c r="C21" s="11" t="s">
        <v>65</v>
      </c>
      <c r="D21" s="9">
        <f t="shared" si="0"/>
        <v>1</v>
      </c>
      <c r="E21" s="55">
        <v>1</v>
      </c>
      <c r="F21" s="5"/>
      <c r="G21" s="30"/>
      <c r="H21" s="24"/>
      <c r="I21" s="42"/>
      <c r="J21" s="69"/>
      <c r="K21" s="54"/>
      <c r="L21" s="45"/>
    </row>
    <row r="22" spans="1:12" x14ac:dyDescent="0.25">
      <c r="A22" s="11" t="s">
        <v>20</v>
      </c>
      <c r="B22" s="11" t="s">
        <v>10</v>
      </c>
      <c r="C22" s="11" t="s">
        <v>57</v>
      </c>
      <c r="D22" s="9">
        <f t="shared" si="0"/>
        <v>1</v>
      </c>
      <c r="E22" s="55"/>
      <c r="F22" s="5"/>
      <c r="G22" s="29"/>
      <c r="H22" s="23"/>
      <c r="I22" s="42"/>
      <c r="J22" s="69"/>
      <c r="K22" s="53">
        <v>1</v>
      </c>
      <c r="L22" s="22"/>
    </row>
    <row r="23" spans="1:12" ht="25.5" x14ac:dyDescent="0.25">
      <c r="A23" s="12" t="s">
        <v>23</v>
      </c>
      <c r="B23" s="12" t="s">
        <v>24</v>
      </c>
      <c r="C23" s="12" t="s">
        <v>59</v>
      </c>
      <c r="D23" s="9">
        <f t="shared" si="0"/>
        <v>1</v>
      </c>
      <c r="E23" s="55"/>
      <c r="F23" s="5"/>
      <c r="G23" s="29"/>
      <c r="H23" s="23"/>
      <c r="I23" s="42"/>
      <c r="J23" s="69"/>
      <c r="K23" s="53">
        <v>1</v>
      </c>
      <c r="L23" s="22"/>
    </row>
    <row r="24" spans="1:12" ht="25.5" x14ac:dyDescent="0.25">
      <c r="A24" s="11" t="s">
        <v>31</v>
      </c>
      <c r="B24" s="11" t="s">
        <v>9</v>
      </c>
      <c r="C24" s="11" t="s">
        <v>63</v>
      </c>
      <c r="D24" s="9">
        <f t="shared" si="0"/>
        <v>1</v>
      </c>
      <c r="E24" s="55"/>
      <c r="F24" s="5"/>
      <c r="G24" s="29"/>
      <c r="H24" s="23"/>
      <c r="I24" s="42"/>
      <c r="J24" s="69"/>
      <c r="K24" s="53">
        <v>1</v>
      </c>
      <c r="L24" s="22"/>
    </row>
  </sheetData>
  <mergeCells count="8">
    <mergeCell ref="L5:L8"/>
    <mergeCell ref="E9:K9"/>
    <mergeCell ref="E11:K11"/>
    <mergeCell ref="A10:D10"/>
    <mergeCell ref="A5:D5"/>
    <mergeCell ref="A6:D6"/>
    <mergeCell ref="A7:D7"/>
    <mergeCell ref="A8:D8"/>
  </mergeCells>
  <pageMargins left="0.7" right="0.7" top="0.75" bottom="0.75" header="0.3" footer="0.3"/>
  <pageSetup paperSize="8" scale="45" fitToWidth="0" orientation="landscape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Lise Nicolen</dc:creator>
  <cp:lastModifiedBy>Celine Droy</cp:lastModifiedBy>
  <cp:lastPrinted>2025-02-19T09:54:06Z</cp:lastPrinted>
  <dcterms:created xsi:type="dcterms:W3CDTF">2025-02-10T12:08:30Z</dcterms:created>
  <dcterms:modified xsi:type="dcterms:W3CDTF">2025-04-24T10:06:42Z</dcterms:modified>
</cp:coreProperties>
</file>